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yang/Workspace/school/软件度量大作业/S5/代码度量/Understand/改进前/export/"/>
    </mc:Choice>
  </mc:AlternateContent>
  <xr:revisionPtr revIDLastSave="0" documentId="13_ncr:1_{824C46FB-FA42-094C-B698-BD7E4B6BA893}" xr6:coauthVersionLast="47" xr6:coauthVersionMax="47" xr10:uidLastSave="{00000000-0000-0000-0000-000000000000}"/>
  <bookViews>
    <workbookView xWindow="0" yWindow="660" windowWidth="34560" windowHeight="20440" activeTab="1" xr2:uid="{00000000-000D-0000-FFFF-FFFF00000000}"/>
  </bookViews>
  <sheets>
    <sheet name="雷达图" sheetId="1" r:id="rId1"/>
    <sheet name="三维柱状图" sheetId="2" r:id="rId2"/>
    <sheet name="原始数据" sheetId="3" r:id="rId3"/>
  </sheets>
  <definedNames>
    <definedName name="_xlchart.v1.0" hidden="1">三维柱状图!$A$5:$A$8</definedName>
    <definedName name="_xlchart.v1.1" hidden="1">三维柱状图!$B$5:$B$8</definedName>
    <definedName name="_xlchart.v1.10" hidden="1">三维柱状图!$B$5:$B$8</definedName>
    <definedName name="_xlchart.v1.11" hidden="1">三维柱状图!$C$5:$C$8</definedName>
    <definedName name="_xlchart.v1.12" hidden="1">三维柱状图!$A$5:$A$8</definedName>
    <definedName name="_xlchart.v1.13" hidden="1">三维柱状图!$B$5:$B$8</definedName>
    <definedName name="_xlchart.v1.14" hidden="1">三维柱状图!$C$5:$C$8</definedName>
    <definedName name="_xlchart.v1.15" hidden="1">三维柱状图!$A$5:$A$8</definedName>
    <definedName name="_xlchart.v1.16" hidden="1">三维柱状图!$B$5:$B$8</definedName>
    <definedName name="_xlchart.v1.17" hidden="1">三维柱状图!$C$5:$C$8</definedName>
    <definedName name="_xlchart.v1.18" hidden="1">三维柱状图!$A$5:$A$8</definedName>
    <definedName name="_xlchart.v1.19" hidden="1">三维柱状图!$B$5:$B$8</definedName>
    <definedName name="_xlchart.v1.2" hidden="1">三维柱状图!$C$5:$C$8</definedName>
    <definedName name="_xlchart.v1.20" hidden="1">三维柱状图!$C$5:$C$8</definedName>
    <definedName name="_xlchart.v1.21" hidden="1">三维柱状图!$A$5:$A$8</definedName>
    <definedName name="_xlchart.v1.22" hidden="1">三维柱状图!$B$5:$B$8</definedName>
    <definedName name="_xlchart.v1.23" hidden="1">三维柱状图!$C$5:$C$8</definedName>
    <definedName name="_xlchart.v1.24" hidden="1">三维柱状图!$A$5:$A$8</definedName>
    <definedName name="_xlchart.v1.25" hidden="1">三维柱状图!$B$5:$B$8</definedName>
    <definedName name="_xlchart.v1.26" hidden="1">三维柱状图!$C$5:$C$8</definedName>
    <definedName name="_xlchart.v1.27" hidden="1">三维柱状图!$A$5:$A$8</definedName>
    <definedName name="_xlchart.v1.28" hidden="1">三维柱状图!$B$5:$B$8</definedName>
    <definedName name="_xlchart.v1.29" hidden="1">三维柱状图!$C$5:$C$8</definedName>
    <definedName name="_xlchart.v1.3" hidden="1">三维柱状图!$A$5:$A$8</definedName>
    <definedName name="_xlchart.v1.4" hidden="1">三维柱状图!$B$5:$B$8</definedName>
    <definedName name="_xlchart.v1.5" hidden="1">三维柱状图!$C$5:$C$8</definedName>
    <definedName name="_xlchart.v1.6" hidden="1">三维柱状图!$A$5:$A$8</definedName>
    <definedName name="_xlchart.v1.7" hidden="1">三维柱状图!$B$5:$B$8</definedName>
    <definedName name="_xlchart.v1.8" hidden="1">三维柱状图!$C$5:$C$8</definedName>
    <definedName name="_xlchart.v1.9" hidden="1">三维柱状图!$A$5:$A$8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B8" i="2"/>
  <c r="C7" i="2"/>
  <c r="B7" i="2"/>
  <c r="C6" i="2"/>
  <c r="B6" i="2"/>
  <c r="C5" i="2"/>
  <c r="B5" i="2"/>
  <c r="C8" i="1"/>
  <c r="B8" i="1"/>
  <c r="C7" i="1"/>
  <c r="B7" i="1"/>
  <c r="C6" i="1"/>
  <c r="B6" i="1"/>
  <c r="C5" i="1"/>
  <c r="B5" i="1"/>
</calcChain>
</file>

<file path=xl/sharedStrings.xml><?xml version="1.0" encoding="utf-8"?>
<sst xmlns="http://schemas.openxmlformats.org/spreadsheetml/2006/main" count="44" uniqueCount="27">
  <si>
    <t>基于 Understand 真实数据的重点文件对比</t>
  </si>
  <si>
    <t>指标（归一化 %）</t>
  </si>
  <si>
    <t>MaintenanceServiceImpl</t>
  </si>
  <si>
    <t>StatisticsServiceImpl</t>
  </si>
  <si>
    <t>Code Lines</t>
  </si>
  <si>
    <t>Declared Methods</t>
  </si>
  <si>
    <t>Class Coupling</t>
  </si>
  <si>
    <t>LCOM</t>
  </si>
  <si>
    <t>说明</t>
  </si>
  <si>
    <t>原始值见「原始数据」工作表。图表仅做尺度归一化，未改变指标来源。</t>
  </si>
  <si>
    <t>重点文件 Understand 原始度量</t>
  </si>
  <si>
    <t>指标</t>
  </si>
  <si>
    <t>来源</t>
  </si>
  <si>
    <t>Understand projectmetrics.dat / fileMetrics</t>
  </si>
  <si>
    <t>Understand Low Maintainability Classes Table</t>
  </si>
  <si>
    <t>LCOM (%)</t>
  </si>
  <si>
    <t>字段</t>
  </si>
  <si>
    <t>值</t>
  </si>
  <si>
    <t>Understand Build</t>
  </si>
  <si>
    <t>分析时间</t>
  </si>
  <si>
    <t>2026-09-15 09:07</t>
  </si>
  <si>
    <t>源码范围</t>
  </si>
  <si>
    <t>backend/src/main/java</t>
  </si>
  <si>
    <t>原始缓存</t>
  </si>
  <si>
    <t>projectmetrics.dat</t>
  </si>
  <si>
    <t>统计口径</t>
  </si>
  <si>
    <t>原始值来自 Understand；图表按每项两文件最大值归一化。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</si>
</sst>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1"/>
      <name val="Carlito"/>
    </font>
    <font>
      <sz val="10"/>
      <color rgb="FF1F2937"/>
      <name val="Arial"/>
      <family val="2"/>
    </font>
    <font>
      <b/>
      <sz val="14"/>
      <color rgb="FF17365D"/>
      <name val="Arial"/>
      <family val="2"/>
    </font>
    <font>
      <b/>
      <sz val="10"/>
      <color rgb="FFFFFFFF"/>
      <name val="Arial"/>
      <family val="2"/>
    </font>
    <font>
      <b/>
      <sz val="10"/>
      <color rgb="FF17365D"/>
      <name val="Arial"/>
      <family val="2"/>
    </font>
    <font>
      <i/>
      <sz val="9"/>
      <color rgb="FF4B5563"/>
      <name val="Arial"/>
      <family val="2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CE6F1"/>
      </patternFill>
    </fill>
  </fills>
  <borders count="9">
    <border>
      <left/>
      <right/>
      <top/>
      <bottom/>
      <diagonal/>
    </border>
    <border>
      <left style="thin">
        <color rgb="FF9CA3AF"/>
      </left>
      <right/>
      <top style="thin">
        <color rgb="FF9CA3AF"/>
      </top>
      <bottom/>
      <diagonal/>
    </border>
    <border>
      <left/>
      <right/>
      <top style="thin">
        <color rgb="FF9CA3AF"/>
      </top>
      <bottom/>
      <diagonal/>
    </border>
    <border>
      <left/>
      <right style="thin">
        <color rgb="FF9CA3AF"/>
      </right>
      <top style="thin">
        <color rgb="FF9CA3AF"/>
      </top>
      <bottom/>
      <diagonal/>
    </border>
    <border>
      <left style="thin">
        <color rgb="FF9CA3AF"/>
      </left>
      <right/>
      <top/>
      <bottom/>
      <diagonal/>
    </border>
    <border>
      <left/>
      <right style="thin">
        <color rgb="FF9CA3AF"/>
      </right>
      <top/>
      <bottom/>
      <diagonal/>
    </border>
    <border>
      <left style="thin">
        <color rgb="FF9CA3AF"/>
      </left>
      <right/>
      <top/>
      <bottom style="thin">
        <color rgb="FF9CA3AF"/>
      </bottom>
      <diagonal/>
    </border>
    <border>
      <left/>
      <right/>
      <top/>
      <bottom style="thin">
        <color rgb="FF9CA3AF"/>
      </bottom>
      <diagonal/>
    </border>
    <border>
      <left/>
      <right style="thin">
        <color rgb="FF9CA3AF"/>
      </right>
      <top/>
      <bottom style="thin">
        <color rgb="FF9CA3AF"/>
      </bottom>
      <diagonal/>
    </border>
  </borders>
  <cellStyleXfs count="2">
    <xf numFmtId="0" fontId="0" fillId="0" borderId="0"/>
    <xf numFmtId="0" fontId="6" fillId="0" borderId="0"/>
  </cellStyleXfs>
  <cellXfs count="25">
    <xf numFmtId="0" fontId="0" fillId="0" borderId="0" xfId="0"/>
    <xf numFmtId="0" fontId="1" fillId="0" borderId="0" xfId="1" applyFont="1"/>
    <xf numFmtId="0" fontId="2" fillId="0" borderId="0" xfId="1" applyFont="1"/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3" borderId="4" xfId="1" applyFont="1" applyFill="1" applyBorder="1"/>
    <xf numFmtId="0" fontId="4" fillId="3" borderId="6" xfId="1" applyFont="1" applyFill="1" applyBorder="1"/>
    <xf numFmtId="0" fontId="4" fillId="3" borderId="4" xfId="1" applyFont="1" applyFill="1" applyBorder="1" applyAlignment="1">
      <alignment vertical="center"/>
    </xf>
    <xf numFmtId="0" fontId="4" fillId="3" borderId="6" xfId="1" applyFont="1" applyFill="1" applyBorder="1" applyAlignment="1">
      <alignment vertical="center"/>
    </xf>
    <xf numFmtId="176" fontId="1" fillId="0" borderId="0" xfId="1" applyNumberFormat="1" applyFont="1" applyAlignment="1">
      <alignment horizontal="right" vertical="center"/>
    </xf>
    <xf numFmtId="176" fontId="1" fillId="0" borderId="5" xfId="1" applyNumberFormat="1" applyFont="1" applyBorder="1" applyAlignment="1">
      <alignment horizontal="right" vertical="center"/>
    </xf>
    <xf numFmtId="176" fontId="1" fillId="0" borderId="7" xfId="1" applyNumberFormat="1" applyFont="1" applyBorder="1" applyAlignment="1">
      <alignment horizontal="right" vertical="center"/>
    </xf>
    <xf numFmtId="176" fontId="1" fillId="0" borderId="8" xfId="1" applyNumberFormat="1" applyFont="1" applyBorder="1" applyAlignment="1">
      <alignment horizontal="right" vertical="center"/>
    </xf>
    <xf numFmtId="0" fontId="5" fillId="0" borderId="0" xfId="1" applyFont="1" applyAlignment="1">
      <alignment wrapText="1"/>
    </xf>
    <xf numFmtId="1" fontId="1" fillId="0" borderId="0" xfId="1" applyNumberFormat="1" applyFont="1"/>
    <xf numFmtId="0" fontId="3" fillId="2" borderId="1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0" borderId="5" xfId="1" applyFont="1" applyBorder="1"/>
    <xf numFmtId="1" fontId="1" fillId="0" borderId="7" xfId="1" applyNumberFormat="1" applyFont="1" applyBorder="1"/>
    <xf numFmtId="0" fontId="1" fillId="0" borderId="8" xfId="1" applyFont="1" applyBorder="1"/>
    <xf numFmtId="0" fontId="1" fillId="0" borderId="4" xfId="1" applyFont="1" applyBorder="1"/>
    <xf numFmtId="0" fontId="1" fillId="0" borderId="6" xfId="1" applyFont="1" applyBorder="1"/>
    <xf numFmtId="0" fontId="1" fillId="0" borderId="8" xfId="1" applyFont="1" applyBorder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900">
                <a:latin typeface="Arial"/>
                <a:ea typeface="Arial"/>
                <a:cs typeface="Arial"/>
              </a:rPr>
              <a:t>重点文件度量雷达图（归一化 </a:t>
            </a:r>
            <a:r>
              <a:rPr lang="en-US" altLang="zh-CN" sz="900">
                <a:latin typeface="Arial"/>
                <a:ea typeface="Arial"/>
                <a:cs typeface="Arial"/>
              </a:rPr>
              <a:t>%</a:t>
            </a:r>
            <a:r>
              <a:rPr lang="zh-CN" altLang="en-US" sz="900">
                <a:latin typeface="Arial"/>
                <a:ea typeface="Arial"/>
                <a:cs typeface="Arial"/>
              </a:rPr>
              <a:t>）</a:t>
            </a:r>
          </a:p>
        </c:rich>
      </c:tx>
      <c:overlay val="0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MaintenanceServiceImpl</c:v>
          </c:tx>
          <c:spPr>
            <a:ln w="19050">
              <a:solidFill>
                <a:srgbClr val="4F81BD"/>
              </a:solidFill>
              <a:prstDash val="solid"/>
            </a:ln>
          </c:spPr>
          <c:cat>
            <c:strRef>
              <c:f>雷达图!$A$5:$A$8</c:f>
              <c:strCache>
                <c:ptCount val="4"/>
                <c:pt idx="0">
                  <c:v>Code Lines</c:v>
                </c:pt>
                <c:pt idx="1">
                  <c:v>Declared Methods</c:v>
                </c:pt>
                <c:pt idx="2">
                  <c:v>Class Coupling</c:v>
                </c:pt>
                <c:pt idx="3">
                  <c:v>LCOM</c:v>
                </c:pt>
              </c:strCache>
            </c:strRef>
          </c:cat>
          <c:val>
            <c:numRef>
              <c:f>雷达图!$B$5:$B$8</c:f>
              <c:numCache>
                <c:formatCode>0.0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2-914B-8364-2CBAA319758D}"/>
            </c:ext>
          </c:extLst>
        </c:ser>
        <c:ser>
          <c:idx val="1"/>
          <c:order val="1"/>
          <c:tx>
            <c:v>StatisticsServiceImpl</c:v>
          </c:tx>
          <c:spPr>
            <a:ln w="19050">
              <a:solidFill>
                <a:srgbClr val="F79646"/>
              </a:solidFill>
              <a:prstDash val="solid"/>
            </a:ln>
          </c:spPr>
          <c:cat>
            <c:strRef>
              <c:f>雷达图!$A$5:$A$8</c:f>
              <c:strCache>
                <c:ptCount val="4"/>
                <c:pt idx="0">
                  <c:v>Code Lines</c:v>
                </c:pt>
                <c:pt idx="1">
                  <c:v>Declared Methods</c:v>
                </c:pt>
                <c:pt idx="2">
                  <c:v>Class Coupling</c:v>
                </c:pt>
                <c:pt idx="3">
                  <c:v>LCOM</c:v>
                </c:pt>
              </c:strCache>
            </c:strRef>
          </c:cat>
          <c:val>
            <c:numRef>
              <c:f>雷达图!$C$5:$C$8</c:f>
              <c:numCache>
                <c:formatCode>0.0</c:formatCode>
                <c:ptCount val="4"/>
                <c:pt idx="0">
                  <c:v>37.890625</c:v>
                </c:pt>
                <c:pt idx="1">
                  <c:v>27.777777777777779</c:v>
                </c:pt>
                <c:pt idx="2">
                  <c:v>88.888888888888886</c:v>
                </c:pt>
                <c:pt idx="3">
                  <c:v>58.024691358024697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F2-914B-8364-2CBAA3197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zh-CN" altLang="en-US" sz="900">
                <a:latin typeface="Arial"/>
                <a:ea typeface="Arial"/>
                <a:cs typeface="Arial"/>
              </a:rPr>
              <a:t>重点文件度量柱状图（归一化 </a:t>
            </a:r>
            <a:r>
              <a:rPr lang="en-US" altLang="zh-CN" sz="900">
                <a:latin typeface="Arial"/>
                <a:ea typeface="Arial"/>
                <a:cs typeface="Arial"/>
              </a:rPr>
              <a:t>%</a:t>
            </a:r>
            <a:r>
              <a:rPr lang="zh-CN" altLang="en-US" sz="900">
                <a:latin typeface="Arial"/>
                <a:ea typeface="Arial"/>
                <a:cs typeface="Arial"/>
              </a:rPr>
              <a:t>）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MaintenanceServiceImpl</c:v>
          </c:tx>
          <c:spPr>
            <a:solidFill>
              <a:srgbClr val="4F81BD"/>
            </a:solidFill>
          </c:spPr>
          <c:invertIfNegative val="1"/>
          <c:cat>
            <c:strRef>
              <c:f>三维柱状图!$A$5:$A$8</c:f>
              <c:strCache>
                <c:ptCount val="4"/>
                <c:pt idx="0">
                  <c:v>Code Lines</c:v>
                </c:pt>
                <c:pt idx="1">
                  <c:v>Declared Methods</c:v>
                </c:pt>
                <c:pt idx="2">
                  <c:v>Class Coupling</c:v>
                </c:pt>
                <c:pt idx="3">
                  <c:v>LCOM</c:v>
                </c:pt>
              </c:strCache>
            </c:strRef>
          </c:cat>
          <c:val>
            <c:numRef>
              <c:f>三维柱状图!$B$5:$B$8</c:f>
              <c:numCache>
                <c:formatCode>0.0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2A9-9A48-B567-BF95FCBB628D}"/>
            </c:ext>
          </c:extLst>
        </c:ser>
        <c:ser>
          <c:idx val="1"/>
          <c:order val="1"/>
          <c:tx>
            <c:v>StatisticsServiceImpl</c:v>
          </c:tx>
          <c:spPr>
            <a:solidFill>
              <a:srgbClr val="F79646"/>
            </a:solidFill>
          </c:spPr>
          <c:invertIfNegative val="1"/>
          <c:cat>
            <c:strRef>
              <c:f>三维柱状图!$A$5:$A$8</c:f>
              <c:strCache>
                <c:ptCount val="4"/>
                <c:pt idx="0">
                  <c:v>Code Lines</c:v>
                </c:pt>
                <c:pt idx="1">
                  <c:v>Declared Methods</c:v>
                </c:pt>
                <c:pt idx="2">
                  <c:v>Class Coupling</c:v>
                </c:pt>
                <c:pt idx="3">
                  <c:v>LCOM</c:v>
                </c:pt>
              </c:strCache>
            </c:strRef>
          </c:cat>
          <c:val>
            <c:numRef>
              <c:f>三维柱状图!$C$5:$C$8</c:f>
              <c:numCache>
                <c:formatCode>0.0</c:formatCode>
                <c:ptCount val="4"/>
                <c:pt idx="0">
                  <c:v>37.890625</c:v>
                </c:pt>
                <c:pt idx="1">
                  <c:v>27.777777777777779</c:v>
                </c:pt>
                <c:pt idx="2">
                  <c:v>88.888888888888886</c:v>
                </c:pt>
                <c:pt idx="3">
                  <c:v>58.024691358024697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72A9-9A48-B567-BF95FCBB6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650112"/>
        <c:axId val="48672768"/>
        <c:axId val="0"/>
      </c:bar3D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zh-CN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anchorCtr="1"/>
          <a:lstStyle/>
          <a:p>
            <a:pPr>
              <a:defRPr>
                <a:latin typeface="Arial"/>
                <a:ea typeface="Arial"/>
                <a:cs typeface="Arial"/>
              </a:defRPr>
            </a:pPr>
            <a:endParaRPr lang="zh-CN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showGridLines="0" workbookViewId="0"/>
  </sheetViews>
  <sheetFormatPr baseColWidth="10" defaultColWidth="8.83203125" defaultRowHeight="14"/>
  <cols>
    <col min="1" max="3" width="24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4" customHeight="1">
      <c r="A2" s="2" t="s">
        <v>0</v>
      </c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2" customHeight="1">
      <c r="A4" s="3" t="s">
        <v>1</v>
      </c>
      <c r="B4" s="4" t="s">
        <v>2</v>
      </c>
      <c r="C4" s="5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2" customHeight="1">
      <c r="A5" s="8" t="s">
        <v>4</v>
      </c>
      <c r="B5" s="10">
        <f>原始数据!B5/MAX(原始数据!$B5:$C5)*100</f>
        <v>100</v>
      </c>
      <c r="C5" s="11">
        <f>原始数据!C5/MAX(原始数据!$B5:$C5)*100</f>
        <v>37.890625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2" customHeight="1">
      <c r="A6" s="8" t="s">
        <v>5</v>
      </c>
      <c r="B6" s="10">
        <f>原始数据!B6/MAX(原始数据!$B6:$C6)*100</f>
        <v>100</v>
      </c>
      <c r="C6" s="11">
        <f>原始数据!C6/MAX(原始数据!$B6:$C6)*100</f>
        <v>27.777777777777779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2" customHeight="1">
      <c r="A7" s="8" t="s">
        <v>6</v>
      </c>
      <c r="B7" s="10">
        <f>原始数据!B7/MAX(原始数据!$B7:$C7)*100</f>
        <v>100</v>
      </c>
      <c r="C7" s="11">
        <f>原始数据!C7/MAX(原始数据!$B7:$C7)*100</f>
        <v>88.888888888888886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2" customHeight="1">
      <c r="A8" s="9" t="s">
        <v>7</v>
      </c>
      <c r="B8" s="12">
        <f>原始数据!B8/MAX(原始数据!$B8:$C8)*100</f>
        <v>100</v>
      </c>
      <c r="C8" s="13">
        <f>原始数据!C8/MAX(原始数据!$B8:$C8)*100</f>
        <v>58.024691358024697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39">
      <c r="A10" s="14" t="s">
        <v>8</v>
      </c>
      <c r="B10" s="14" t="s">
        <v>9</v>
      </c>
      <c r="C10" s="1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4"/>
      <c r="B11" s="14"/>
      <c r="C11" s="1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</sheetData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5"/>
  <sheetViews>
    <sheetView showGridLines="0" tabSelected="1" workbookViewId="0"/>
  </sheetViews>
  <sheetFormatPr baseColWidth="10" defaultColWidth="8.83203125" defaultRowHeight="14"/>
  <cols>
    <col min="1" max="3" width="24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4" customHeight="1">
      <c r="A2" s="2" t="s">
        <v>0</v>
      </c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2" customHeight="1">
      <c r="A4" s="3" t="s">
        <v>1</v>
      </c>
      <c r="B4" s="4" t="s">
        <v>2</v>
      </c>
      <c r="C4" s="5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2" customHeight="1">
      <c r="A5" s="8" t="s">
        <v>4</v>
      </c>
      <c r="B5" s="10">
        <f>原始数据!B5/MAX(原始数据!$B5:$C5)*100</f>
        <v>100</v>
      </c>
      <c r="C5" s="11">
        <f>原始数据!C5/MAX(原始数据!$B5:$C5)*100</f>
        <v>37.890625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2" customHeight="1">
      <c r="A6" s="8" t="s">
        <v>5</v>
      </c>
      <c r="B6" s="10">
        <f>原始数据!B6/MAX(原始数据!$B6:$C6)*100</f>
        <v>100</v>
      </c>
      <c r="C6" s="11">
        <f>原始数据!C6/MAX(原始数据!$B6:$C6)*100</f>
        <v>27.777777777777779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22" customHeight="1">
      <c r="A7" s="8" t="s">
        <v>6</v>
      </c>
      <c r="B7" s="10">
        <f>原始数据!B7/MAX(原始数据!$B7:$C7)*100</f>
        <v>100</v>
      </c>
      <c r="C7" s="11">
        <f>原始数据!C7/MAX(原始数据!$B7:$C7)*100</f>
        <v>88.888888888888886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2" customHeight="1">
      <c r="A8" s="9" t="s">
        <v>7</v>
      </c>
      <c r="B8" s="12">
        <f>原始数据!B8/MAX(原始数据!$B8:$C8)*100</f>
        <v>100</v>
      </c>
      <c r="C8" s="13">
        <f>原始数据!C8/MAX(原始数据!$B8:$C8)*100</f>
        <v>58.024691358024697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39">
      <c r="A10" s="14" t="s">
        <v>8</v>
      </c>
      <c r="B10" s="14" t="s">
        <v>9</v>
      </c>
      <c r="C10" s="1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4"/>
      <c r="B11" s="14"/>
      <c r="C11" s="1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</sheetData>
  <phoneticPr fontId="7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4"/>
  <cols>
    <col min="1" max="1" width="24" customWidth="1"/>
    <col min="2" max="3" width="25" customWidth="1"/>
    <col min="4" max="4" width="47" customWidth="1"/>
  </cols>
  <sheetData>
    <row r="1" spans="1:4">
      <c r="A1" s="1"/>
      <c r="B1" s="1"/>
      <c r="C1" s="1"/>
      <c r="D1" s="1"/>
    </row>
    <row r="2" spans="1:4" ht="18">
      <c r="A2" s="2" t="s">
        <v>10</v>
      </c>
      <c r="B2" s="2"/>
      <c r="C2" s="2"/>
      <c r="D2" s="2"/>
    </row>
    <row r="3" spans="1:4">
      <c r="A3" s="1"/>
      <c r="B3" s="1"/>
      <c r="C3" s="1"/>
      <c r="D3" s="1"/>
    </row>
    <row r="4" spans="1:4">
      <c r="A4" s="16" t="s">
        <v>11</v>
      </c>
      <c r="B4" s="17" t="s">
        <v>2</v>
      </c>
      <c r="C4" s="17" t="s">
        <v>3</v>
      </c>
      <c r="D4" s="18" t="s">
        <v>12</v>
      </c>
    </row>
    <row r="5" spans="1:4">
      <c r="A5" s="6" t="s">
        <v>4</v>
      </c>
      <c r="B5" s="15">
        <v>256</v>
      </c>
      <c r="C5" s="15">
        <v>97</v>
      </c>
      <c r="D5" s="19" t="s">
        <v>13</v>
      </c>
    </row>
    <row r="6" spans="1:4">
      <c r="A6" s="6" t="s">
        <v>5</v>
      </c>
      <c r="B6" s="15">
        <v>18</v>
      </c>
      <c r="C6" s="15">
        <v>5</v>
      </c>
      <c r="D6" s="19" t="s">
        <v>14</v>
      </c>
    </row>
    <row r="7" spans="1:4">
      <c r="A7" s="6" t="s">
        <v>6</v>
      </c>
      <c r="B7" s="15">
        <v>27</v>
      </c>
      <c r="C7" s="15">
        <v>24</v>
      </c>
      <c r="D7" s="19" t="s">
        <v>14</v>
      </c>
    </row>
    <row r="8" spans="1:4">
      <c r="A8" s="7" t="s">
        <v>15</v>
      </c>
      <c r="B8" s="20">
        <v>81</v>
      </c>
      <c r="C8" s="20">
        <v>47</v>
      </c>
      <c r="D8" s="21" t="s">
        <v>14</v>
      </c>
    </row>
    <row r="9" spans="1:4">
      <c r="A9" s="1"/>
      <c r="B9" s="1"/>
      <c r="C9" s="1"/>
      <c r="D9" s="1"/>
    </row>
    <row r="10" spans="1:4">
      <c r="A10" s="16" t="s">
        <v>16</v>
      </c>
      <c r="B10" s="18" t="s">
        <v>17</v>
      </c>
      <c r="C10" s="1"/>
      <c r="D10" s="1"/>
    </row>
    <row r="11" spans="1:4">
      <c r="A11" s="22" t="s">
        <v>18</v>
      </c>
      <c r="B11" s="19">
        <v>1262</v>
      </c>
      <c r="C11" s="1"/>
      <c r="D11" s="1"/>
    </row>
    <row r="12" spans="1:4">
      <c r="A12" s="22" t="s">
        <v>19</v>
      </c>
      <c r="B12" s="19" t="s">
        <v>20</v>
      </c>
      <c r="C12" s="1"/>
      <c r="D12" s="1"/>
    </row>
    <row r="13" spans="1:4">
      <c r="A13" s="22" t="s">
        <v>21</v>
      </c>
      <c r="B13" s="19" t="s">
        <v>22</v>
      </c>
      <c r="C13" s="1"/>
      <c r="D13" s="1"/>
    </row>
    <row r="14" spans="1:4">
      <c r="A14" s="22" t="s">
        <v>23</v>
      </c>
      <c r="B14" s="19" t="s">
        <v>24</v>
      </c>
      <c r="C14" s="1"/>
      <c r="D14" s="1"/>
    </row>
    <row r="15" spans="1:4" ht="28">
      <c r="A15" s="23" t="s">
        <v>25</v>
      </c>
      <c r="B15" s="24" t="s">
        <v>26</v>
      </c>
      <c r="C15" s="1"/>
      <c r="D15" s="1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雷达图</vt:lpstr>
      <vt:lpstr>三维柱状图</vt:lpstr>
      <vt:lpstr>原始数据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Yorushika</cp:lastModifiedBy>
  <dcterms:modified xsi:type="dcterms:W3CDTF">2026-09-15T01:37:33Z</dcterms:modified>
</cp:coreProperties>
</file>